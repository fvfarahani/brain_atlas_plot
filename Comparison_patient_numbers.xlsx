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chobiosciences-my.sharepoint.com/personal/julie_segueni_ranchobiosciences_com/Documents/Documents/Janssen/Akrivia Health/"/>
    </mc:Choice>
  </mc:AlternateContent>
  <xr:revisionPtr revIDLastSave="5" documentId="8_{A025498C-8303-4820-8F9F-B69FB509FC13}" xr6:coauthVersionLast="47" xr6:coauthVersionMax="47" xr10:uidLastSave="{3A8E1899-3CFD-4303-A068-4780C08F7259}"/>
  <bookViews>
    <workbookView xWindow="13095" yWindow="5565" windowWidth="12960" windowHeight="9510" xr2:uid="{4A157B14-B055-4BCE-8D08-EC0DDD075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3" i="1"/>
  <c r="F4" i="1"/>
  <c r="F5" i="1"/>
  <c r="F6" i="1"/>
  <c r="F2" i="1"/>
  <c r="E3" i="1"/>
  <c r="E4" i="1"/>
  <c r="E5" i="1"/>
  <c r="E6" i="1"/>
  <c r="E2" i="1"/>
  <c r="D7" i="1"/>
  <c r="C7" i="1"/>
</calcChain>
</file>

<file path=xl/sharedStrings.xml><?xml version="1.0" encoding="utf-8"?>
<sst xmlns="http://schemas.openxmlformats.org/spreadsheetml/2006/main" count="11" uniqueCount="11">
  <si>
    <t>Dementia</t>
  </si>
  <si>
    <t>Paul_Kevin</t>
  </si>
  <si>
    <t>Bipolar disorder</t>
  </si>
  <si>
    <t>Depressive disorder</t>
  </si>
  <si>
    <t>Psychotic disorder</t>
  </si>
  <si>
    <t>Schizophrenic disorder</t>
  </si>
  <si>
    <t>Current data</t>
  </si>
  <si>
    <t>Total</t>
  </si>
  <si>
    <t>Percentage of new data on current data</t>
  </si>
  <si>
    <t># of patients</t>
  </si>
  <si>
    <t>New data (difference)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</si>
</sst>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7A30-F5E7-4C34-A2F0-7A1C8344755E}">
  <dimension ref="B1:F7"/>
  <sheetViews>
    <sheetView tabSelected="1" workbookViewId="0">
      <selection activeCell="F8" sqref="F8"/>
    </sheetView>
  </sheetViews>
  <sheetFormatPr defaultRowHeight="15" x14ac:dyDescent="0.25"/>
  <cols>
    <col min="2" max="2" width="23.85546875" customWidth="1"/>
    <col min="3" max="3" width="13.5703125" customWidth="1"/>
    <col min="4" max="4" width="14.140625" customWidth="1"/>
    <col min="5" max="5" width="21.5703125" customWidth="1"/>
    <col min="6" max="6" width="38" customWidth="1"/>
  </cols>
  <sheetData>
    <row r="1" spans="2:6" x14ac:dyDescent="0.25">
      <c r="B1" t="s">
        <v>9</v>
      </c>
      <c r="C1" s="1" t="s">
        <v>1</v>
      </c>
      <c r="D1" s="1" t="s">
        <v>6</v>
      </c>
      <c r="E1" s="1" t="s">
        <v>10</v>
      </c>
      <c r="F1" s="1" t="s">
        <v>8</v>
      </c>
    </row>
    <row r="2" spans="2:6" x14ac:dyDescent="0.25">
      <c r="B2" s="1" t="s">
        <v>2</v>
      </c>
      <c r="C2">
        <v>35</v>
      </c>
      <c r="D2">
        <v>81</v>
      </c>
      <c r="E2">
        <f>D2-C2</f>
        <v>46</v>
      </c>
      <c r="F2">
        <f>E2/D2*100</f>
        <v>56.79012345679012</v>
      </c>
    </row>
    <row r="3" spans="2:6" x14ac:dyDescent="0.25">
      <c r="B3" s="1" t="s">
        <v>0</v>
      </c>
      <c r="C3">
        <v>27</v>
      </c>
      <c r="D3">
        <v>124</v>
      </c>
      <c r="E3">
        <f t="shared" ref="E3:E6" si="0">D3-C3</f>
        <v>97</v>
      </c>
      <c r="F3">
        <f t="shared" ref="F3:F6" si="1">E3/D3*100</f>
        <v>78.225806451612897</v>
      </c>
    </row>
    <row r="4" spans="2:6" x14ac:dyDescent="0.25">
      <c r="B4" s="1" t="s">
        <v>3</v>
      </c>
      <c r="C4">
        <v>77</v>
      </c>
      <c r="D4">
        <v>157</v>
      </c>
      <c r="E4">
        <f t="shared" si="0"/>
        <v>80</v>
      </c>
      <c r="F4">
        <f t="shared" si="1"/>
        <v>50.955414012738856</v>
      </c>
    </row>
    <row r="5" spans="2:6" x14ac:dyDescent="0.25">
      <c r="B5" s="1" t="s">
        <v>4</v>
      </c>
      <c r="C5">
        <v>0</v>
      </c>
      <c r="D5">
        <v>38</v>
      </c>
      <c r="E5">
        <f t="shared" si="0"/>
        <v>38</v>
      </c>
      <c r="F5">
        <f t="shared" si="1"/>
        <v>100</v>
      </c>
    </row>
    <row r="6" spans="2:6" x14ac:dyDescent="0.25">
      <c r="B6" s="1" t="s">
        <v>5</v>
      </c>
      <c r="C6">
        <v>15</v>
      </c>
      <c r="D6">
        <v>54</v>
      </c>
      <c r="E6">
        <f t="shared" si="0"/>
        <v>39</v>
      </c>
      <c r="F6">
        <f t="shared" si="1"/>
        <v>72.222222222222214</v>
      </c>
    </row>
    <row r="7" spans="2:6" x14ac:dyDescent="0.25">
      <c r="B7" s="1" t="s">
        <v>7</v>
      </c>
      <c r="C7">
        <f>SUM(C2:C6)</f>
        <v>154</v>
      </c>
      <c r="D7">
        <f>SUM(D2:D6)</f>
        <v>454</v>
      </c>
      <c r="E7">
        <f>SUM(E2:E6)</f>
        <v>300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e6eb9a-fcb3-48b4-8dc5-7fb39a973cfa}" enabled="0" method="" siteId="{72e6eb9a-fcb3-48b4-8dc5-7fb39a973c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Segueni</dc:creator>
  <cp:lastModifiedBy>Julie Segueni</cp:lastModifiedBy>
  <dcterms:created xsi:type="dcterms:W3CDTF">2026-04-01T14:20:05Z</dcterms:created>
  <dcterms:modified xsi:type="dcterms:W3CDTF">2026-04-01T14:43:24Z</dcterms:modified>
</cp:coreProperties>
</file>